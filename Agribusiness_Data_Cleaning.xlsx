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8ab74db7cd323c/Documents/"/>
    </mc:Choice>
  </mc:AlternateContent>
  <xr:revisionPtr revIDLastSave="83" documentId="8_{DE7B449C-BEAA-40AB-8940-EA2B5C369041}" xr6:coauthVersionLast="47" xr6:coauthVersionMax="47" xr10:uidLastSave="{3D3ED085-B75D-4566-A09C-D3D737DD0387}"/>
  <bookViews>
    <workbookView xWindow="-108" yWindow="-108" windowWidth="23256" windowHeight="12456" activeTab="1" xr2:uid="{4A0FE6DE-A81D-491D-BDF6-12CA12342FF2}"/>
  </bookViews>
  <sheets>
    <sheet name="Table_8.3-All_India_1" sheetId="1" r:id="rId1"/>
    <sheet name="Cleaned_Data" sheetId="3" r:id="rId2"/>
  </sheets>
  <definedNames>
    <definedName name="_xlnm._FilterDatabase" localSheetId="1" hidden="1">Cleaned_Data!$A$1:$AJ$17</definedName>
    <definedName name="_xlnm._FilterDatabase" localSheetId="0" hidden="1">'Table_8.3-All_India_1'!$A$1:$AJ$17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C23" i="3"/>
  <c r="D23" i="1"/>
  <c r="C23" i="1"/>
</calcChain>
</file>

<file path=xl/sharedStrings.xml><?xml version="1.0" encoding="utf-8"?>
<sst xmlns="http://schemas.openxmlformats.org/spreadsheetml/2006/main" count="137" uniqueCount="59">
  <si>
    <t>Year</t>
  </si>
  <si>
    <t>Food Grains (Cereals) - Rice (000 tonnes)</t>
  </si>
  <si>
    <t>Food Grains (Cereals) - Jowar (000 tonnes)</t>
  </si>
  <si>
    <t>Food Grains (Cereals) - Bajra (000 tonnes)</t>
  </si>
  <si>
    <t>Food Grains (Cereals) - Maize (000 tonnes)</t>
  </si>
  <si>
    <t>Food Grains (Cereals) - Ragi (000 tonnes)</t>
  </si>
  <si>
    <t>Food Grains (Cereals) - Small Millets (000 tonnes)</t>
  </si>
  <si>
    <t>Food Grains (Cereals) - Wheat (000 tonnes)</t>
  </si>
  <si>
    <t>Food Grains (Cereals) - Barley (000 tonnes)</t>
  </si>
  <si>
    <t>Food Grains (Cereals) - Total (000 tonnes)</t>
  </si>
  <si>
    <t>Food Grains (Pulses) - Gram (000 tonnes)</t>
  </si>
  <si>
    <t>Food Grains (Pulses) - Tur (000 tonnes)</t>
  </si>
  <si>
    <t>Food Grains (Pulses) - Other Pulses (000 tonnes)</t>
  </si>
  <si>
    <t>Food Grains (Pulses) - Total (000 tonnes)</t>
  </si>
  <si>
    <t>Food Grains - Total (000 tonnes)</t>
  </si>
  <si>
    <t>Oilseeds - Ground-nuts (000 tonnes)</t>
  </si>
  <si>
    <t>Oilseeds - Sesamum (000 tonnes)</t>
  </si>
  <si>
    <t>Oilseeds - Rapeseed and Mustard (000 tonnes)</t>
  </si>
  <si>
    <t>Oilseeds - Linseed (000 tonnes)</t>
  </si>
  <si>
    <t>Oilseeds - Castor seed (000 tonnes)</t>
  </si>
  <si>
    <t>Total Nine Oilseeds (000 tonnes)</t>
  </si>
  <si>
    <t>Cotton (000 Bales)</t>
  </si>
  <si>
    <t>Jute (000 Bales)</t>
  </si>
  <si>
    <t>Mesta (000 Bales)</t>
  </si>
  <si>
    <t>Tea (Million kgs)</t>
  </si>
  <si>
    <t>Coffee (000 MT)</t>
  </si>
  <si>
    <t>Natural Rubber (000 MT)</t>
  </si>
  <si>
    <t>Banana (000 tonnes)</t>
  </si>
  <si>
    <t>Sugarcane (000 tonnes)</t>
  </si>
  <si>
    <t>Tobacco (000 tonnes)</t>
  </si>
  <si>
    <t>Potatoes (000 tonnes)</t>
  </si>
  <si>
    <t>Black Pepper (000 tonnes)</t>
  </si>
  <si>
    <t>Chillies (000 tonnes)</t>
  </si>
  <si>
    <t>Ginger (000 tonnes)</t>
  </si>
  <si>
    <t>Coconut (000 tonnes)</t>
  </si>
  <si>
    <t>Turmeric (000 tonnes)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</si>
  <si>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</si>
  <si>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</si>
  <si>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</si>
  <si>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</si>
  <si>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</si>
  <si>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</si>
  <si>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</si>
  <si>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</si>
  <si>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</si>
  <si>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</si>
  <si>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</si>
  <si>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</si>
  <si>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</si>
  <si>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</si>
  <si>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NA</t>
  </si>
  <si>
    <t>2015-16</t>
  </si>
  <si>
    <t>2016-17 (A.E)</t>
  </si>
  <si>
    <t>Crop</t>
  </si>
  <si>
    <t>Production (000 tonnes)</t>
  </si>
  <si>
    <t>Rice</t>
  </si>
  <si>
    <t>Bajra</t>
  </si>
  <si>
    <t>Maize</t>
  </si>
  <si>
    <t>Ragi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</si>
</sst>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/>
                </a:solidFill>
              </a:rPr>
              <a:t>Rice Production Trend (2001–02 to 2016–17</a:t>
            </a:r>
            <a:r>
              <a:rPr lang="en-I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Cleaned_Data!$B$1</c:f>
              <c:strCache>
                <c:ptCount val="1"/>
                <c:pt idx="0">
                  <c:v>Food Grains (Cereals) - Rice (000 tonnes)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Cleaned_Data!$A$2:$A$23</c:f>
              <c:strCache>
                <c:ptCount val="16"/>
                <c:pt idx="0">
                  <c:v>2001-02</c:v>
                </c:pt>
                <c:pt idx="1">
                  <c:v>2002-03</c:v>
                </c:pt>
                <c:pt idx="2">
                  <c:v>2003-04</c:v>
                </c:pt>
                <c:pt idx="3">
                  <c:v>2004-05</c:v>
                </c:pt>
                <c:pt idx="4">
                  <c:v>2005-06</c:v>
                </c:pt>
                <c:pt idx="5">
                  <c:v>2006-07</c:v>
                </c:pt>
                <c:pt idx="6">
                  <c:v>2007-08</c:v>
                </c:pt>
                <c:pt idx="7">
                  <c:v>2008-09</c:v>
                </c:pt>
                <c:pt idx="8">
                  <c:v>2009-10</c:v>
                </c:pt>
                <c:pt idx="9">
                  <c:v>2010-11</c:v>
                </c:pt>
                <c:pt idx="10">
                  <c:v>2011-12</c:v>
                </c:pt>
                <c:pt idx="11">
                  <c:v>2012-13</c:v>
                </c:pt>
                <c:pt idx="12">
                  <c:v>2013-14</c:v>
                </c:pt>
                <c:pt idx="13">
                  <c:v>2014-15</c:v>
                </c:pt>
                <c:pt idx="14">
                  <c:v>2015-16</c:v>
                </c:pt>
                <c:pt idx="15">
                  <c:v>2016-17 (A.E)</c:v>
                </c:pt>
              </c:strCache>
            </c:strRef>
          </c:cat>
          <c:val>
            <c:numRef>
              <c:f>Cleaned_Data!$B$2:$B$23</c:f>
              <c:numCache>
                <c:formatCode>General</c:formatCode>
                <c:ptCount val="22"/>
                <c:pt idx="0">
                  <c:v>93340</c:v>
                </c:pt>
                <c:pt idx="1">
                  <c:v>71820</c:v>
                </c:pt>
                <c:pt idx="2">
                  <c:v>88526</c:v>
                </c:pt>
                <c:pt idx="3">
                  <c:v>83132</c:v>
                </c:pt>
                <c:pt idx="4">
                  <c:v>91793</c:v>
                </c:pt>
                <c:pt idx="5">
                  <c:v>93355</c:v>
                </c:pt>
                <c:pt idx="6">
                  <c:v>96693</c:v>
                </c:pt>
                <c:pt idx="7">
                  <c:v>99172</c:v>
                </c:pt>
                <c:pt idx="8">
                  <c:v>89083</c:v>
                </c:pt>
                <c:pt idx="9">
                  <c:v>95970</c:v>
                </c:pt>
                <c:pt idx="10">
                  <c:v>105301</c:v>
                </c:pt>
                <c:pt idx="11">
                  <c:v>105241</c:v>
                </c:pt>
                <c:pt idx="12">
                  <c:v>106646</c:v>
                </c:pt>
                <c:pt idx="13">
                  <c:v>105482</c:v>
                </c:pt>
                <c:pt idx="14">
                  <c:v>104320</c:v>
                </c:pt>
                <c:pt idx="15">
                  <c:v>93880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3-4836-80B1-3D8813FEB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1824"/>
        <c:axId val="1366078992"/>
      </c:lineChart>
      <c:catAx>
        <c:axId val="16378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78992"/>
        <c:crosses val="autoZero"/>
        <c:auto val="1"/>
        <c:lblAlgn val="ctr"/>
        <c:lblOffset val="100"/>
        <c:noMultiLvlLbl val="0"/>
      </c:catAx>
      <c:valAx>
        <c:axId val="13660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Cleaned_Data!$E$27</c:f>
              <c:strCache>
                <c:ptCount val="1"/>
                <c:pt idx="0">
                  <c:v>Production (000 tonnes)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Cleaned_Data!$D$28:$D$31</c:f>
              <c:strCache>
                <c:ptCount val="4"/>
                <c:pt idx="0">
                  <c:v>Rice</c:v>
                </c:pt>
                <c:pt idx="1">
                  <c:v>Bajra</c:v>
                </c:pt>
                <c:pt idx="2">
                  <c:v>Maize</c:v>
                </c:pt>
                <c:pt idx="3">
                  <c:v>Ragi</c:v>
                </c:pt>
              </c:strCache>
            </c:strRef>
          </c:cat>
          <c:val>
            <c:numRef>
              <c:f>Cleaned_Data!$E$28:$E$31</c:f>
              <c:numCache>
                <c:formatCode>General</c:formatCode>
                <c:ptCount val="4"/>
                <c:pt idx="0">
                  <c:v>93880</c:v>
                </c:pt>
                <c:pt idx="1">
                  <c:v>8550</c:v>
                </c:pt>
                <c:pt idx="2">
                  <c:v>19300</c:v>
                </c:pt>
                <c:pt idx="3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D-4B2E-A4C0-00FA64B37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3793648"/>
        <c:axId val="1366104912"/>
      </c:barChart>
      <c:catAx>
        <c:axId val="16637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104912"/>
        <c:crosses val="autoZero"/>
        <c:auto val="1"/>
        <c:lblAlgn val="ctr"/>
        <c:lblOffset val="100"/>
        <c:noMultiLvlLbl val="0"/>
      </c:catAx>
      <c:valAx>
        <c:axId val="136610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9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Cleaned_Data!$E$27</c:f>
              <c:strCache>
                <c:ptCount val="1"/>
                <c:pt idx="0">
                  <c:v>Production (000 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Cleaned_Data!$D$28:$D$31</c:f>
              <c:strCache>
                <c:ptCount val="4"/>
                <c:pt idx="0">
                  <c:v>Rice</c:v>
                </c:pt>
                <c:pt idx="1">
                  <c:v>Bajra</c:v>
                </c:pt>
                <c:pt idx="2">
                  <c:v>Maize</c:v>
                </c:pt>
                <c:pt idx="3">
                  <c:v>Ragi</c:v>
                </c:pt>
              </c:strCache>
            </c:strRef>
          </c:cat>
          <c:val>
            <c:numRef>
              <c:f>Cleaned_Data!$E$28:$E$31</c:f>
              <c:numCache>
                <c:formatCode>General</c:formatCode>
                <c:ptCount val="4"/>
                <c:pt idx="0">
                  <c:v>93880</c:v>
                </c:pt>
                <c:pt idx="1">
                  <c:v>8550</c:v>
                </c:pt>
                <c:pt idx="2">
                  <c:v>19300</c:v>
                </c:pt>
                <c:pt idx="3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7-4202-962B-A139EEDF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946416"/>
        <c:axId val="1366069392"/>
      </c:barChart>
      <c:catAx>
        <c:axId val="16529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69392"/>
        <c:crosses val="autoZero"/>
        <c:auto val="1"/>
        <c:lblAlgn val="ctr"/>
        <c:lblOffset val="100"/>
        <c:noMultiLvlLbl val="0"/>
      </c:catAx>
      <c:valAx>
        <c:axId val="13660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4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69273</xdr:colOff>
      <xdr:row>27</xdr:row>
      <xdr:rowOff>69272</xdr:rowOff>
    </xdr:from>
    <xdr:to>
      <xdr:col>2</xdr:col>
      <xdr:colOff>658091</xdr:colOff>
      <xdr:row>41</xdr:row>
      <xdr:rowOff>43296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55DFF-6FCB-E2D7-5449-B03B823EE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861579</xdr:colOff>
      <xdr:row>25</xdr:row>
      <xdr:rowOff>152400</xdr:rowOff>
    </xdr:from>
    <xdr:to>
      <xdr:col>5</xdr:col>
      <xdr:colOff>1242579</xdr:colOff>
      <xdr:row>40</xdr:row>
      <xdr:rowOff>167987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DF366B-6B6F-378F-2C7D-B1CC35617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134216</xdr:colOff>
      <xdr:row>26</xdr:row>
      <xdr:rowOff>39831</xdr:rowOff>
    </xdr:from>
    <xdr:to>
      <xdr:col>7</xdr:col>
      <xdr:colOff>73603</xdr:colOff>
      <xdr:row>41</xdr:row>
      <xdr:rowOff>55418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024C4A-99B4-2E18-4710-EC1C4BC08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C75876-9AF5-4FA9-8AA9-D256EA55BCC9}" name="Table2" displayName="Table2" ref="D27:E31" totalsRowShown="0">
  <autoFilter ref="D27:E31" xr:uid="{74C75876-9AF5-4FA9-8AA9-D256EA55BCC9}"/>
  <tableColumns count="2">
    <tableColumn id="1" xr3:uid="{6C19F1ED-2076-44F7-BA44-AFF7FBA360A5}" name="Crop"/>
    <tableColumn id="2" xr3:uid="{36FBEA7E-3650-4B33-A5D7-EA06AFFBC86A}" name="Production (000 tonn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FD2E-36C8-4B9B-B0E9-2B33DCDA46F7}">
  <dimension ref="A1:AJ23"/>
  <sheetViews>
    <sheetView zoomScale="88" zoomScaleNormal="100" workbookViewId="0">
      <selection activeCell="D24" sqref="D24"/>
    </sheetView>
  </sheetViews>
  <sheetFormatPr defaultRowHeight="14.4" x14ac:dyDescent="0.3"/>
  <cols>
    <col min="1" max="1" width="11.33203125" customWidth="1"/>
    <col min="2" max="2" width="29.88671875" customWidth="1"/>
    <col min="3" max="6" width="30.5546875" customWidth="1"/>
    <col min="7" max="7" width="37" customWidth="1"/>
    <col min="8" max="12" width="30.5546875" customWidth="1"/>
    <col min="13" max="13" width="36.77734375" customWidth="1"/>
    <col min="14" max="36" width="30.5546875" customWidth="1"/>
    <col min="37" max="38" width="19.77734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93340</v>
      </c>
      <c r="C2">
        <v>7557</v>
      </c>
      <c r="D2">
        <v>8284</v>
      </c>
      <c r="E2">
        <v>13160</v>
      </c>
      <c r="F2">
        <v>2375</v>
      </c>
      <c r="G2">
        <v>577</v>
      </c>
      <c r="H2">
        <v>72766</v>
      </c>
      <c r="I2">
        <v>1425</v>
      </c>
      <c r="J2">
        <v>199483</v>
      </c>
      <c r="K2">
        <v>5473</v>
      </c>
      <c r="L2">
        <v>2260</v>
      </c>
      <c r="M2">
        <v>5635</v>
      </c>
      <c r="N2">
        <v>13368</v>
      </c>
      <c r="O2">
        <v>212851</v>
      </c>
      <c r="P2">
        <v>7028</v>
      </c>
      <c r="Q2">
        <v>698</v>
      </c>
      <c r="R2">
        <v>5083</v>
      </c>
      <c r="S2">
        <v>209</v>
      </c>
      <c r="T2">
        <v>653</v>
      </c>
      <c r="U2">
        <v>20662</v>
      </c>
      <c r="V2">
        <v>9997</v>
      </c>
      <c r="W2">
        <v>10584</v>
      </c>
      <c r="X2">
        <v>1094</v>
      </c>
      <c r="Y2">
        <v>854</v>
      </c>
      <c r="Z2">
        <v>301</v>
      </c>
      <c r="AA2">
        <v>631</v>
      </c>
      <c r="AB2">
        <v>13160</v>
      </c>
      <c r="AC2">
        <v>297208</v>
      </c>
      <c r="AD2">
        <v>546</v>
      </c>
      <c r="AE2">
        <v>23924</v>
      </c>
      <c r="AF2">
        <v>62</v>
      </c>
      <c r="AG2">
        <v>1069</v>
      </c>
      <c r="AH2">
        <v>322</v>
      </c>
      <c r="AI2">
        <v>12963</v>
      </c>
      <c r="AJ2">
        <v>563</v>
      </c>
    </row>
    <row r="3" spans="1:36" x14ac:dyDescent="0.3">
      <c r="A3" t="s">
        <v>37</v>
      </c>
      <c r="B3">
        <v>71820</v>
      </c>
      <c r="C3">
        <v>7012</v>
      </c>
      <c r="D3">
        <v>4719</v>
      </c>
      <c r="E3">
        <v>11152</v>
      </c>
      <c r="F3">
        <v>1316</v>
      </c>
      <c r="G3">
        <v>459</v>
      </c>
      <c r="H3">
        <v>65761</v>
      </c>
      <c r="I3">
        <v>1407</v>
      </c>
      <c r="J3">
        <v>163646</v>
      </c>
      <c r="K3">
        <v>4237</v>
      </c>
      <c r="L3">
        <v>2186</v>
      </c>
      <c r="M3">
        <v>4702</v>
      </c>
      <c r="N3">
        <v>11125</v>
      </c>
      <c r="O3">
        <v>174771</v>
      </c>
      <c r="P3">
        <v>4121</v>
      </c>
      <c r="Q3">
        <v>441</v>
      </c>
      <c r="R3">
        <v>3880</v>
      </c>
      <c r="S3">
        <v>177</v>
      </c>
      <c r="T3">
        <v>428</v>
      </c>
      <c r="U3">
        <v>14838</v>
      </c>
      <c r="V3">
        <v>8624</v>
      </c>
      <c r="W3">
        <v>10274</v>
      </c>
      <c r="X3">
        <v>1002</v>
      </c>
      <c r="Y3">
        <v>846</v>
      </c>
      <c r="Z3">
        <v>275</v>
      </c>
      <c r="AA3">
        <v>649</v>
      </c>
      <c r="AB3">
        <v>11975</v>
      </c>
      <c r="AC3">
        <v>287383</v>
      </c>
      <c r="AD3">
        <v>500</v>
      </c>
      <c r="AE3">
        <v>23269</v>
      </c>
      <c r="AF3">
        <v>72</v>
      </c>
      <c r="AG3">
        <v>895</v>
      </c>
      <c r="AH3">
        <v>280</v>
      </c>
      <c r="AI3">
        <v>12535</v>
      </c>
      <c r="AJ3">
        <v>522</v>
      </c>
    </row>
    <row r="4" spans="1:36" x14ac:dyDescent="0.3">
      <c r="A4" t="s">
        <v>38</v>
      </c>
      <c r="B4">
        <v>88526</v>
      </c>
      <c r="C4">
        <v>6681</v>
      </c>
      <c r="D4">
        <v>12109</v>
      </c>
      <c r="E4">
        <v>14984</v>
      </c>
      <c r="F4">
        <v>1966</v>
      </c>
      <c r="G4">
        <v>564</v>
      </c>
      <c r="H4">
        <v>72156</v>
      </c>
      <c r="I4">
        <v>1298</v>
      </c>
      <c r="J4">
        <v>198284</v>
      </c>
      <c r="K4">
        <v>5718</v>
      </c>
      <c r="L4">
        <v>2356</v>
      </c>
      <c r="M4">
        <v>6831</v>
      </c>
      <c r="N4">
        <v>14905</v>
      </c>
      <c r="O4">
        <v>213189</v>
      </c>
      <c r="P4">
        <v>8127</v>
      </c>
      <c r="Q4">
        <v>782</v>
      </c>
      <c r="R4">
        <v>6291</v>
      </c>
      <c r="S4">
        <v>197</v>
      </c>
      <c r="T4">
        <v>797</v>
      </c>
      <c r="U4">
        <v>25186</v>
      </c>
      <c r="V4">
        <v>13729</v>
      </c>
      <c r="W4">
        <v>10252</v>
      </c>
      <c r="X4">
        <v>921</v>
      </c>
      <c r="Y4">
        <v>879</v>
      </c>
      <c r="Z4">
        <v>271</v>
      </c>
      <c r="AA4">
        <v>712</v>
      </c>
      <c r="AB4">
        <v>11388</v>
      </c>
      <c r="AC4">
        <v>233862</v>
      </c>
      <c r="AD4">
        <v>550</v>
      </c>
      <c r="AE4">
        <v>23060</v>
      </c>
      <c r="AF4">
        <v>73</v>
      </c>
      <c r="AG4">
        <v>1236</v>
      </c>
      <c r="AH4">
        <v>302</v>
      </c>
      <c r="AI4">
        <v>12178</v>
      </c>
      <c r="AJ4">
        <v>565</v>
      </c>
    </row>
    <row r="5" spans="1:36" x14ac:dyDescent="0.3">
      <c r="A5" t="s">
        <v>39</v>
      </c>
      <c r="B5">
        <v>83132</v>
      </c>
      <c r="C5">
        <v>7244</v>
      </c>
      <c r="D5">
        <v>7931</v>
      </c>
      <c r="E5">
        <v>14172</v>
      </c>
      <c r="F5">
        <v>2432</v>
      </c>
      <c r="G5">
        <v>478</v>
      </c>
      <c r="H5">
        <v>68637</v>
      </c>
      <c r="I5">
        <v>1207</v>
      </c>
      <c r="J5">
        <v>185233</v>
      </c>
      <c r="K5">
        <v>5469</v>
      </c>
      <c r="L5">
        <v>2347</v>
      </c>
      <c r="M5">
        <v>5314</v>
      </c>
      <c r="N5">
        <v>13130</v>
      </c>
      <c r="O5">
        <v>198363</v>
      </c>
      <c r="P5">
        <v>6774</v>
      </c>
      <c r="Q5">
        <v>674</v>
      </c>
      <c r="R5">
        <v>7593</v>
      </c>
      <c r="S5">
        <v>170</v>
      </c>
      <c r="T5">
        <v>793</v>
      </c>
      <c r="U5">
        <v>24354</v>
      </c>
      <c r="V5">
        <v>16429</v>
      </c>
      <c r="W5">
        <v>9399</v>
      </c>
      <c r="X5">
        <v>873</v>
      </c>
      <c r="Y5">
        <v>907</v>
      </c>
      <c r="Z5">
        <v>276</v>
      </c>
      <c r="AA5">
        <v>750</v>
      </c>
      <c r="AB5">
        <v>11710</v>
      </c>
      <c r="AC5">
        <v>237088</v>
      </c>
      <c r="AD5">
        <v>549</v>
      </c>
      <c r="AE5">
        <v>23631</v>
      </c>
      <c r="AF5">
        <v>73</v>
      </c>
      <c r="AG5">
        <v>1186</v>
      </c>
      <c r="AH5">
        <v>359</v>
      </c>
      <c r="AI5">
        <v>12833</v>
      </c>
      <c r="AJ5">
        <v>718</v>
      </c>
    </row>
    <row r="6" spans="1:36" x14ac:dyDescent="0.3">
      <c r="A6" t="s">
        <v>40</v>
      </c>
      <c r="B6">
        <v>91793</v>
      </c>
      <c r="C6">
        <v>7630</v>
      </c>
      <c r="D6">
        <v>7684</v>
      </c>
      <c r="E6">
        <v>14710</v>
      </c>
      <c r="F6">
        <v>2354</v>
      </c>
      <c r="G6">
        <v>472</v>
      </c>
      <c r="H6">
        <v>69355</v>
      </c>
      <c r="I6">
        <v>1221</v>
      </c>
      <c r="J6">
        <v>195217</v>
      </c>
      <c r="K6">
        <v>5600</v>
      </c>
      <c r="L6">
        <v>2738</v>
      </c>
      <c r="M6">
        <v>5046</v>
      </c>
      <c r="N6">
        <v>13384</v>
      </c>
      <c r="O6">
        <v>208602</v>
      </c>
      <c r="P6">
        <v>7993</v>
      </c>
      <c r="Q6">
        <v>641</v>
      </c>
      <c r="R6">
        <v>8131</v>
      </c>
      <c r="S6">
        <v>173</v>
      </c>
      <c r="T6">
        <v>991</v>
      </c>
      <c r="U6">
        <v>27978</v>
      </c>
      <c r="V6">
        <v>18499</v>
      </c>
      <c r="W6">
        <v>9970</v>
      </c>
      <c r="X6">
        <v>870</v>
      </c>
      <c r="Y6">
        <v>949</v>
      </c>
      <c r="Z6">
        <v>274</v>
      </c>
      <c r="AA6">
        <v>803</v>
      </c>
      <c r="AB6">
        <v>12105</v>
      </c>
      <c r="AC6">
        <v>281172</v>
      </c>
      <c r="AD6">
        <v>552</v>
      </c>
      <c r="AE6">
        <v>23905</v>
      </c>
      <c r="AF6">
        <v>93</v>
      </c>
      <c r="AG6">
        <v>1015</v>
      </c>
      <c r="AH6">
        <v>391</v>
      </c>
      <c r="AI6">
        <v>14811</v>
      </c>
      <c r="AJ6">
        <v>852</v>
      </c>
    </row>
    <row r="7" spans="1:36" x14ac:dyDescent="0.3">
      <c r="A7" t="s">
        <v>41</v>
      </c>
      <c r="B7">
        <v>93355</v>
      </c>
      <c r="C7">
        <v>7151</v>
      </c>
      <c r="D7">
        <v>8424</v>
      </c>
      <c r="E7">
        <v>15097</v>
      </c>
      <c r="F7">
        <v>1444</v>
      </c>
      <c r="G7">
        <v>480</v>
      </c>
      <c r="H7">
        <v>75807</v>
      </c>
      <c r="I7">
        <v>1328</v>
      </c>
      <c r="J7">
        <v>203085</v>
      </c>
      <c r="K7">
        <v>6334</v>
      </c>
      <c r="L7">
        <v>2314</v>
      </c>
      <c r="M7">
        <v>5550</v>
      </c>
      <c r="N7">
        <v>14198</v>
      </c>
      <c r="O7">
        <v>217282</v>
      </c>
      <c r="P7">
        <v>4864</v>
      </c>
      <c r="Q7">
        <v>618</v>
      </c>
      <c r="R7">
        <v>7438</v>
      </c>
      <c r="S7">
        <v>168</v>
      </c>
      <c r="T7">
        <v>762</v>
      </c>
      <c r="U7">
        <v>24289</v>
      </c>
      <c r="V7">
        <v>22632</v>
      </c>
      <c r="W7">
        <v>10317</v>
      </c>
      <c r="X7">
        <v>956</v>
      </c>
      <c r="Y7">
        <v>973</v>
      </c>
      <c r="Z7">
        <v>288</v>
      </c>
      <c r="AA7">
        <v>853</v>
      </c>
      <c r="AB7">
        <v>16609</v>
      </c>
      <c r="AC7">
        <v>355520</v>
      </c>
      <c r="AD7">
        <v>469</v>
      </c>
      <c r="AE7">
        <v>22181</v>
      </c>
      <c r="AF7">
        <v>69</v>
      </c>
      <c r="AG7">
        <v>1242</v>
      </c>
      <c r="AH7">
        <v>393</v>
      </c>
      <c r="AI7">
        <v>15840</v>
      </c>
      <c r="AJ7">
        <v>787</v>
      </c>
    </row>
    <row r="8" spans="1:36" x14ac:dyDescent="0.3">
      <c r="A8" t="s">
        <v>42</v>
      </c>
      <c r="B8">
        <v>96693</v>
      </c>
      <c r="C8">
        <v>7926</v>
      </c>
      <c r="D8">
        <v>9970</v>
      </c>
      <c r="E8">
        <v>18955</v>
      </c>
      <c r="F8">
        <v>2152</v>
      </c>
      <c r="G8">
        <v>551</v>
      </c>
      <c r="H8">
        <v>78570</v>
      </c>
      <c r="I8">
        <v>1196</v>
      </c>
      <c r="J8">
        <v>216014</v>
      </c>
      <c r="K8">
        <v>5749</v>
      </c>
      <c r="L8">
        <v>3076</v>
      </c>
      <c r="M8">
        <v>5937</v>
      </c>
      <c r="N8">
        <v>14762</v>
      </c>
      <c r="O8">
        <v>230775</v>
      </c>
      <c r="P8">
        <v>9183</v>
      </c>
      <c r="Q8">
        <v>757</v>
      </c>
      <c r="R8">
        <v>5834</v>
      </c>
      <c r="S8">
        <v>163</v>
      </c>
      <c r="T8">
        <v>1054</v>
      </c>
      <c r="U8">
        <v>29755</v>
      </c>
      <c r="V8">
        <v>25884</v>
      </c>
      <c r="W8">
        <v>10220</v>
      </c>
      <c r="X8">
        <v>990</v>
      </c>
      <c r="Y8">
        <v>987</v>
      </c>
      <c r="Z8">
        <v>262</v>
      </c>
      <c r="AA8">
        <v>825</v>
      </c>
      <c r="AB8">
        <v>23823</v>
      </c>
      <c r="AC8">
        <v>348188</v>
      </c>
      <c r="AD8">
        <v>437</v>
      </c>
      <c r="AE8">
        <v>34658</v>
      </c>
      <c r="AF8">
        <v>50</v>
      </c>
      <c r="AG8">
        <v>1371</v>
      </c>
      <c r="AH8">
        <v>775</v>
      </c>
      <c r="AI8">
        <v>10148</v>
      </c>
      <c r="AJ8">
        <v>884</v>
      </c>
    </row>
    <row r="9" spans="1:36" x14ac:dyDescent="0.3">
      <c r="A9" t="s">
        <v>43</v>
      </c>
      <c r="B9">
        <v>99172</v>
      </c>
      <c r="C9">
        <v>7246</v>
      </c>
      <c r="D9">
        <v>8887</v>
      </c>
      <c r="E9">
        <v>19731</v>
      </c>
      <c r="F9">
        <v>2040</v>
      </c>
      <c r="G9">
        <v>445</v>
      </c>
      <c r="H9">
        <v>80679</v>
      </c>
      <c r="I9">
        <v>1689</v>
      </c>
      <c r="J9">
        <v>219889</v>
      </c>
      <c r="K9">
        <v>7060</v>
      </c>
      <c r="L9">
        <v>2266</v>
      </c>
      <c r="M9">
        <v>5240</v>
      </c>
      <c r="N9">
        <v>14566</v>
      </c>
      <c r="O9">
        <v>234456</v>
      </c>
      <c r="P9">
        <v>7168</v>
      </c>
      <c r="Q9">
        <v>640</v>
      </c>
      <c r="R9">
        <v>7201</v>
      </c>
      <c r="S9">
        <v>169</v>
      </c>
      <c r="T9">
        <v>1171</v>
      </c>
      <c r="U9">
        <v>27719</v>
      </c>
      <c r="V9">
        <v>22276</v>
      </c>
      <c r="W9">
        <v>9634</v>
      </c>
      <c r="X9">
        <v>731</v>
      </c>
      <c r="Y9">
        <v>973</v>
      </c>
      <c r="Z9">
        <v>262</v>
      </c>
      <c r="AA9">
        <v>865</v>
      </c>
      <c r="AB9">
        <v>26217</v>
      </c>
      <c r="AC9">
        <v>285029</v>
      </c>
      <c r="AD9">
        <v>569</v>
      </c>
      <c r="AE9">
        <v>34391</v>
      </c>
      <c r="AF9">
        <v>50</v>
      </c>
      <c r="AG9">
        <v>1382</v>
      </c>
      <c r="AH9">
        <v>832</v>
      </c>
      <c r="AI9">
        <v>10148</v>
      </c>
      <c r="AJ9">
        <v>895</v>
      </c>
    </row>
    <row r="10" spans="1:36" x14ac:dyDescent="0.3">
      <c r="A10" t="s">
        <v>44</v>
      </c>
      <c r="B10">
        <v>89083</v>
      </c>
      <c r="C10">
        <v>6698</v>
      </c>
      <c r="D10">
        <v>6506</v>
      </c>
      <c r="E10">
        <v>16720</v>
      </c>
      <c r="F10">
        <v>1889</v>
      </c>
      <c r="G10">
        <v>382</v>
      </c>
      <c r="H10">
        <v>80804</v>
      </c>
      <c r="I10">
        <v>1355</v>
      </c>
      <c r="J10">
        <v>203435</v>
      </c>
      <c r="K10">
        <v>7476</v>
      </c>
      <c r="L10">
        <v>2465</v>
      </c>
      <c r="M10">
        <v>4720</v>
      </c>
      <c r="N10">
        <v>14662</v>
      </c>
      <c r="O10">
        <v>218098</v>
      </c>
      <c r="P10">
        <v>5428</v>
      </c>
      <c r="Q10">
        <v>588</v>
      </c>
      <c r="R10">
        <v>6608</v>
      </c>
      <c r="S10">
        <v>154</v>
      </c>
      <c r="T10">
        <v>1009</v>
      </c>
      <c r="U10">
        <v>24882</v>
      </c>
      <c r="V10">
        <v>24022</v>
      </c>
      <c r="W10">
        <v>11230</v>
      </c>
      <c r="X10">
        <v>587</v>
      </c>
      <c r="Y10">
        <v>991</v>
      </c>
      <c r="Z10">
        <v>290</v>
      </c>
      <c r="AA10">
        <v>831</v>
      </c>
      <c r="AB10">
        <v>26470</v>
      </c>
      <c r="AC10">
        <v>292302</v>
      </c>
      <c r="AD10">
        <v>665</v>
      </c>
      <c r="AE10">
        <v>36577</v>
      </c>
      <c r="AF10">
        <v>50</v>
      </c>
      <c r="AG10">
        <v>1470</v>
      </c>
      <c r="AH10">
        <v>708</v>
      </c>
      <c r="AI10">
        <v>10824</v>
      </c>
      <c r="AJ10">
        <v>928</v>
      </c>
    </row>
    <row r="11" spans="1:36" x14ac:dyDescent="0.3">
      <c r="A11" t="s">
        <v>45</v>
      </c>
      <c r="B11">
        <v>95970</v>
      </c>
      <c r="C11">
        <v>7003</v>
      </c>
      <c r="D11">
        <v>10370</v>
      </c>
      <c r="E11">
        <v>21726</v>
      </c>
      <c r="F11">
        <v>2194</v>
      </c>
      <c r="G11">
        <v>442</v>
      </c>
      <c r="H11">
        <v>86874</v>
      </c>
      <c r="I11">
        <v>1663</v>
      </c>
      <c r="J11">
        <v>226241</v>
      </c>
      <c r="K11">
        <v>8221</v>
      </c>
      <c r="L11">
        <v>2861</v>
      </c>
      <c r="M11">
        <v>7159</v>
      </c>
      <c r="N11">
        <v>18241</v>
      </c>
      <c r="O11">
        <v>244482</v>
      </c>
      <c r="P11">
        <v>8266</v>
      </c>
      <c r="Q11">
        <v>893</v>
      </c>
      <c r="R11">
        <v>8179</v>
      </c>
      <c r="S11">
        <v>147</v>
      </c>
      <c r="T11">
        <v>1350</v>
      </c>
      <c r="U11">
        <v>32477</v>
      </c>
      <c r="V11">
        <v>33000</v>
      </c>
      <c r="W11">
        <v>10009</v>
      </c>
      <c r="X11">
        <v>611</v>
      </c>
      <c r="Y11">
        <v>967</v>
      </c>
      <c r="Z11">
        <v>302</v>
      </c>
      <c r="AA11">
        <v>862</v>
      </c>
      <c r="AB11">
        <v>29780</v>
      </c>
      <c r="AC11">
        <v>342382</v>
      </c>
      <c r="AD11">
        <v>802</v>
      </c>
      <c r="AE11">
        <v>42339</v>
      </c>
      <c r="AF11">
        <v>52</v>
      </c>
      <c r="AG11">
        <v>1223</v>
      </c>
      <c r="AH11">
        <v>702</v>
      </c>
      <c r="AI11">
        <v>10840</v>
      </c>
      <c r="AJ11">
        <v>993</v>
      </c>
    </row>
    <row r="12" spans="1:36" x14ac:dyDescent="0.3">
      <c r="A12" t="s">
        <v>46</v>
      </c>
      <c r="B12">
        <v>105301</v>
      </c>
      <c r="C12">
        <v>5979</v>
      </c>
      <c r="D12">
        <v>10276</v>
      </c>
      <c r="E12">
        <v>21759</v>
      </c>
      <c r="F12">
        <v>1929</v>
      </c>
      <c r="G12">
        <v>452</v>
      </c>
      <c r="H12">
        <v>94882</v>
      </c>
      <c r="I12">
        <v>1619</v>
      </c>
      <c r="J12">
        <v>242197</v>
      </c>
      <c r="K12">
        <v>7702</v>
      </c>
      <c r="L12">
        <v>2654</v>
      </c>
      <c r="M12">
        <v>6733</v>
      </c>
      <c r="N12">
        <v>17089</v>
      </c>
      <c r="O12">
        <v>259286</v>
      </c>
      <c r="P12">
        <v>6964</v>
      </c>
      <c r="Q12">
        <v>810</v>
      </c>
      <c r="R12">
        <v>6604</v>
      </c>
      <c r="S12">
        <v>153</v>
      </c>
      <c r="T12">
        <v>2295</v>
      </c>
      <c r="U12">
        <v>29799</v>
      </c>
      <c r="V12">
        <v>35200</v>
      </c>
      <c r="W12">
        <v>10736</v>
      </c>
      <c r="X12">
        <v>663</v>
      </c>
      <c r="Y12">
        <v>1095</v>
      </c>
      <c r="Z12">
        <v>314</v>
      </c>
      <c r="AA12">
        <v>904</v>
      </c>
      <c r="AB12">
        <v>28455</v>
      </c>
      <c r="AC12">
        <v>361037</v>
      </c>
      <c r="AD12">
        <v>752</v>
      </c>
      <c r="AE12">
        <v>41483</v>
      </c>
      <c r="AF12">
        <v>41</v>
      </c>
      <c r="AG12">
        <v>1276</v>
      </c>
      <c r="AH12">
        <v>756</v>
      </c>
      <c r="AI12">
        <v>14940</v>
      </c>
      <c r="AJ12">
        <v>1167</v>
      </c>
    </row>
    <row r="13" spans="1:36" x14ac:dyDescent="0.3">
      <c r="A13" t="s">
        <v>47</v>
      </c>
      <c r="B13">
        <v>105241</v>
      </c>
      <c r="C13">
        <v>5282</v>
      </c>
      <c r="D13">
        <v>8742</v>
      </c>
      <c r="E13">
        <v>22258</v>
      </c>
      <c r="F13">
        <v>1574</v>
      </c>
      <c r="G13">
        <v>436</v>
      </c>
      <c r="H13">
        <v>93506</v>
      </c>
      <c r="I13">
        <v>1752</v>
      </c>
      <c r="J13">
        <v>238792</v>
      </c>
      <c r="K13">
        <v>8833</v>
      </c>
      <c r="L13">
        <v>3023</v>
      </c>
      <c r="M13">
        <v>6486</v>
      </c>
      <c r="N13">
        <v>18342</v>
      </c>
      <c r="O13">
        <v>257135</v>
      </c>
      <c r="P13">
        <v>4694</v>
      </c>
      <c r="Q13">
        <v>685</v>
      </c>
      <c r="R13">
        <v>8029</v>
      </c>
      <c r="S13">
        <v>149</v>
      </c>
      <c r="T13">
        <v>1964</v>
      </c>
      <c r="U13">
        <v>30940</v>
      </c>
      <c r="V13">
        <v>34220</v>
      </c>
      <c r="W13">
        <v>10340</v>
      </c>
      <c r="X13">
        <v>590</v>
      </c>
      <c r="Y13">
        <v>1135</v>
      </c>
      <c r="Z13">
        <v>318</v>
      </c>
      <c r="AA13">
        <v>914</v>
      </c>
      <c r="AB13">
        <v>26509</v>
      </c>
      <c r="AC13">
        <v>341200</v>
      </c>
      <c r="AD13">
        <v>657</v>
      </c>
      <c r="AE13">
        <v>45344</v>
      </c>
      <c r="AF13">
        <v>53</v>
      </c>
      <c r="AG13">
        <v>1304</v>
      </c>
      <c r="AH13">
        <v>683</v>
      </c>
      <c r="AI13">
        <v>15609</v>
      </c>
      <c r="AJ13">
        <v>971</v>
      </c>
    </row>
    <row r="14" spans="1:36" x14ac:dyDescent="0.3">
      <c r="A14" t="s">
        <v>48</v>
      </c>
      <c r="B14">
        <v>106646</v>
      </c>
      <c r="C14">
        <v>5542</v>
      </c>
      <c r="D14">
        <v>9250</v>
      </c>
      <c r="E14">
        <v>24259</v>
      </c>
      <c r="F14">
        <v>1983</v>
      </c>
      <c r="G14">
        <v>430</v>
      </c>
      <c r="H14">
        <v>95850</v>
      </c>
      <c r="I14">
        <v>1831</v>
      </c>
      <c r="J14">
        <v>245790</v>
      </c>
      <c r="K14">
        <v>9526</v>
      </c>
      <c r="L14">
        <v>3174</v>
      </c>
      <c r="M14">
        <v>6555</v>
      </c>
      <c r="N14">
        <v>19255</v>
      </c>
      <c r="O14">
        <v>265045</v>
      </c>
      <c r="P14">
        <v>9714</v>
      </c>
      <c r="Q14">
        <v>715</v>
      </c>
      <c r="R14">
        <v>7877</v>
      </c>
      <c r="S14">
        <v>142</v>
      </c>
      <c r="T14">
        <v>1727</v>
      </c>
      <c r="U14">
        <v>32749</v>
      </c>
      <c r="V14">
        <v>35902</v>
      </c>
      <c r="W14">
        <v>11083</v>
      </c>
      <c r="X14">
        <v>607</v>
      </c>
      <c r="Y14">
        <v>1209</v>
      </c>
      <c r="Z14">
        <v>305</v>
      </c>
      <c r="AA14">
        <v>774.03</v>
      </c>
      <c r="AB14">
        <v>29725</v>
      </c>
      <c r="AC14">
        <v>352142</v>
      </c>
      <c r="AD14">
        <v>778</v>
      </c>
      <c r="AE14">
        <v>41555</v>
      </c>
      <c r="AF14">
        <v>51</v>
      </c>
      <c r="AG14">
        <v>1492</v>
      </c>
      <c r="AH14">
        <v>655</v>
      </c>
      <c r="AI14">
        <v>14911</v>
      </c>
      <c r="AJ14">
        <v>1190</v>
      </c>
    </row>
    <row r="15" spans="1:36" x14ac:dyDescent="0.3">
      <c r="A15" t="s">
        <v>49</v>
      </c>
      <c r="B15">
        <v>105482</v>
      </c>
      <c r="C15">
        <v>5445</v>
      </c>
      <c r="D15">
        <v>9184</v>
      </c>
      <c r="E15">
        <v>24173</v>
      </c>
      <c r="F15">
        <v>2061</v>
      </c>
      <c r="G15">
        <v>386</v>
      </c>
      <c r="H15">
        <v>86527</v>
      </c>
      <c r="I15">
        <v>1613</v>
      </c>
      <c r="J15">
        <v>234871</v>
      </c>
      <c r="K15">
        <v>7332</v>
      </c>
      <c r="L15">
        <v>2807</v>
      </c>
      <c r="M15">
        <v>7013</v>
      </c>
      <c r="N15">
        <v>17152</v>
      </c>
      <c r="O15">
        <v>252023</v>
      </c>
      <c r="P15">
        <v>7402</v>
      </c>
      <c r="Q15">
        <v>828</v>
      </c>
      <c r="R15">
        <v>6282</v>
      </c>
      <c r="S15">
        <v>155</v>
      </c>
      <c r="T15">
        <v>1870</v>
      </c>
      <c r="U15">
        <v>27511</v>
      </c>
      <c r="V15">
        <v>34805</v>
      </c>
      <c r="W15">
        <v>10618</v>
      </c>
      <c r="X15">
        <v>508</v>
      </c>
      <c r="Y15">
        <v>1197</v>
      </c>
      <c r="Z15">
        <v>327</v>
      </c>
      <c r="AA15" t="s">
        <v>50</v>
      </c>
      <c r="AB15">
        <v>28137</v>
      </c>
      <c r="AC15">
        <v>362333</v>
      </c>
      <c r="AD15" t="s">
        <v>50</v>
      </c>
      <c r="AE15">
        <v>45951</v>
      </c>
      <c r="AF15">
        <v>55</v>
      </c>
      <c r="AG15">
        <v>1453</v>
      </c>
      <c r="AH15">
        <v>704</v>
      </c>
      <c r="AI15">
        <v>14154</v>
      </c>
      <c r="AJ15">
        <v>852</v>
      </c>
    </row>
    <row r="16" spans="1:36" x14ac:dyDescent="0.3">
      <c r="A16" t="s">
        <v>51</v>
      </c>
      <c r="B16">
        <v>104320</v>
      </c>
      <c r="C16">
        <v>4410</v>
      </c>
      <c r="D16">
        <v>8060</v>
      </c>
      <c r="E16">
        <v>21810</v>
      </c>
      <c r="F16">
        <v>1790</v>
      </c>
      <c r="G16">
        <v>370</v>
      </c>
      <c r="H16">
        <v>93500</v>
      </c>
      <c r="I16">
        <v>1510</v>
      </c>
      <c r="J16">
        <v>235760</v>
      </c>
      <c r="K16">
        <v>7170</v>
      </c>
      <c r="L16">
        <v>2460</v>
      </c>
      <c r="M16">
        <v>6840</v>
      </c>
      <c r="N16">
        <v>16470</v>
      </c>
      <c r="O16">
        <v>252220</v>
      </c>
      <c r="P16">
        <v>6771</v>
      </c>
      <c r="Q16">
        <v>866</v>
      </c>
      <c r="R16">
        <v>6821</v>
      </c>
      <c r="S16">
        <v>132</v>
      </c>
      <c r="T16">
        <v>1650</v>
      </c>
      <c r="U16">
        <v>25304</v>
      </c>
      <c r="V16">
        <v>30147</v>
      </c>
      <c r="W16">
        <v>9938</v>
      </c>
      <c r="X16">
        <v>528</v>
      </c>
      <c r="Y16">
        <v>1233.1400000000001</v>
      </c>
      <c r="Z16">
        <v>348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 spans="1:36" x14ac:dyDescent="0.3">
      <c r="A17" t="s">
        <v>52</v>
      </c>
      <c r="B17">
        <v>93880</v>
      </c>
      <c r="C17">
        <v>2420</v>
      </c>
      <c r="D17">
        <v>8550</v>
      </c>
      <c r="E17">
        <v>19300</v>
      </c>
      <c r="F17">
        <v>1850</v>
      </c>
      <c r="G17">
        <v>340</v>
      </c>
      <c r="H17" t="s">
        <v>50</v>
      </c>
      <c r="I17" t="s">
        <v>50</v>
      </c>
      <c r="J17">
        <v>126330</v>
      </c>
      <c r="K17" t="s">
        <v>50</v>
      </c>
      <c r="L17">
        <v>4290</v>
      </c>
      <c r="M17">
        <v>4410</v>
      </c>
      <c r="N17">
        <v>8700</v>
      </c>
      <c r="O17">
        <v>135030</v>
      </c>
      <c r="P17">
        <v>6498</v>
      </c>
      <c r="Q17">
        <v>675</v>
      </c>
      <c r="R17" t="s">
        <v>50</v>
      </c>
      <c r="S17" t="s">
        <v>50</v>
      </c>
      <c r="T17">
        <v>1731</v>
      </c>
      <c r="U17">
        <v>23363</v>
      </c>
      <c r="V17">
        <v>32123</v>
      </c>
      <c r="W17">
        <v>9905</v>
      </c>
      <c r="X17">
        <v>501</v>
      </c>
      <c r="Z17">
        <v>320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23" spans="1:36" x14ac:dyDescent="0.3">
      <c r="C23">
        <f>MIN(B2,B17)</f>
        <v>93340</v>
      </c>
      <c r="D23">
        <f>MAX(B2,B17)</f>
        <v>93880</v>
      </c>
    </row>
  </sheetData>
  <autoFilter ref="A1:AJ17" xr:uid="{2B3FFD2E-36C8-4B9B-B0E9-2B33DCDA46F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F3EE-0C69-4360-9BA3-213B96CF6324}">
  <dimension ref="A1:AJ31"/>
  <sheetViews>
    <sheetView tabSelected="1" topLeftCell="C19" zoomScale="88" zoomScaleNormal="100" workbookViewId="0">
      <selection activeCell="D27" sqref="D27:E31"/>
    </sheetView>
  </sheetViews>
  <sheetFormatPr defaultRowHeight="14.4" x14ac:dyDescent="0.3"/>
  <cols>
    <col min="1" max="1" width="11.33203125" customWidth="1"/>
    <col min="2" max="2" width="29.88671875" customWidth="1"/>
    <col min="3" max="6" width="30.5546875" customWidth="1"/>
    <col min="7" max="7" width="37" customWidth="1"/>
    <col min="8" max="9" width="30.5546875" customWidth="1"/>
    <col min="10" max="10" width="32" customWidth="1"/>
    <col min="11" max="12" width="30.5546875" customWidth="1"/>
    <col min="13" max="13" width="36.77734375" customWidth="1"/>
    <col min="14" max="36" width="30.5546875" customWidth="1"/>
    <col min="37" max="38" width="19.77734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93340</v>
      </c>
      <c r="C2">
        <v>7557</v>
      </c>
      <c r="D2">
        <v>8284</v>
      </c>
      <c r="E2">
        <v>13160</v>
      </c>
      <c r="F2">
        <v>2375</v>
      </c>
      <c r="G2">
        <v>577</v>
      </c>
      <c r="H2">
        <v>72766</v>
      </c>
      <c r="I2">
        <v>1425</v>
      </c>
      <c r="J2">
        <v>199483</v>
      </c>
      <c r="K2">
        <v>5473</v>
      </c>
      <c r="L2">
        <v>2260</v>
      </c>
      <c r="M2">
        <v>5635</v>
      </c>
      <c r="N2">
        <v>13368</v>
      </c>
      <c r="O2">
        <v>212851</v>
      </c>
      <c r="P2">
        <v>7028</v>
      </c>
      <c r="Q2">
        <v>698</v>
      </c>
      <c r="R2">
        <v>5083</v>
      </c>
      <c r="S2">
        <v>209</v>
      </c>
      <c r="T2">
        <v>653</v>
      </c>
      <c r="U2">
        <v>20662</v>
      </c>
      <c r="V2">
        <v>9997</v>
      </c>
      <c r="W2">
        <v>10584</v>
      </c>
      <c r="X2">
        <v>1094</v>
      </c>
      <c r="Y2">
        <v>854</v>
      </c>
      <c r="Z2">
        <v>301</v>
      </c>
      <c r="AA2">
        <v>631</v>
      </c>
      <c r="AB2">
        <v>13160</v>
      </c>
      <c r="AC2">
        <v>297208</v>
      </c>
      <c r="AD2">
        <v>546</v>
      </c>
      <c r="AE2">
        <v>23924</v>
      </c>
      <c r="AF2">
        <v>62</v>
      </c>
      <c r="AG2">
        <v>1069</v>
      </c>
      <c r="AH2">
        <v>322</v>
      </c>
      <c r="AI2">
        <v>12963</v>
      </c>
      <c r="AJ2">
        <v>563</v>
      </c>
    </row>
    <row r="3" spans="1:36" x14ac:dyDescent="0.3">
      <c r="A3" t="s">
        <v>37</v>
      </c>
      <c r="B3">
        <v>71820</v>
      </c>
      <c r="C3">
        <v>7012</v>
      </c>
      <c r="D3">
        <v>4719</v>
      </c>
      <c r="E3">
        <v>11152</v>
      </c>
      <c r="F3">
        <v>1316</v>
      </c>
      <c r="G3">
        <v>459</v>
      </c>
      <c r="H3">
        <v>65761</v>
      </c>
      <c r="I3">
        <v>1407</v>
      </c>
      <c r="J3">
        <v>163646</v>
      </c>
      <c r="K3">
        <v>4237</v>
      </c>
      <c r="L3">
        <v>2186</v>
      </c>
      <c r="M3">
        <v>4702</v>
      </c>
      <c r="N3">
        <v>11125</v>
      </c>
      <c r="O3">
        <v>174771</v>
      </c>
      <c r="P3">
        <v>4121</v>
      </c>
      <c r="Q3">
        <v>441</v>
      </c>
      <c r="R3">
        <v>3880</v>
      </c>
      <c r="S3">
        <v>177</v>
      </c>
      <c r="T3">
        <v>428</v>
      </c>
      <c r="U3">
        <v>14838</v>
      </c>
      <c r="V3">
        <v>8624</v>
      </c>
      <c r="W3">
        <v>10274</v>
      </c>
      <c r="X3">
        <v>1002</v>
      </c>
      <c r="Y3">
        <v>846</v>
      </c>
      <c r="Z3">
        <v>275</v>
      </c>
      <c r="AA3">
        <v>649</v>
      </c>
      <c r="AB3">
        <v>11975</v>
      </c>
      <c r="AC3">
        <v>287383</v>
      </c>
      <c r="AD3">
        <v>500</v>
      </c>
      <c r="AE3">
        <v>23269</v>
      </c>
      <c r="AF3">
        <v>72</v>
      </c>
      <c r="AG3">
        <v>895</v>
      </c>
      <c r="AH3">
        <v>280</v>
      </c>
      <c r="AI3">
        <v>12535</v>
      </c>
      <c r="AJ3">
        <v>522</v>
      </c>
    </row>
    <row r="4" spans="1:36" x14ac:dyDescent="0.3">
      <c r="A4" t="s">
        <v>38</v>
      </c>
      <c r="B4">
        <v>88526</v>
      </c>
      <c r="C4">
        <v>6681</v>
      </c>
      <c r="D4">
        <v>12109</v>
      </c>
      <c r="E4">
        <v>14984</v>
      </c>
      <c r="F4">
        <v>1966</v>
      </c>
      <c r="G4">
        <v>564</v>
      </c>
      <c r="H4">
        <v>72156</v>
      </c>
      <c r="I4">
        <v>1298</v>
      </c>
      <c r="J4">
        <v>198284</v>
      </c>
      <c r="K4">
        <v>5718</v>
      </c>
      <c r="L4">
        <v>2356</v>
      </c>
      <c r="M4">
        <v>6831</v>
      </c>
      <c r="N4">
        <v>14905</v>
      </c>
      <c r="O4">
        <v>213189</v>
      </c>
      <c r="P4">
        <v>8127</v>
      </c>
      <c r="Q4">
        <v>782</v>
      </c>
      <c r="R4">
        <v>6291</v>
      </c>
      <c r="S4">
        <v>197</v>
      </c>
      <c r="T4">
        <v>797</v>
      </c>
      <c r="U4">
        <v>25186</v>
      </c>
      <c r="V4">
        <v>13729</v>
      </c>
      <c r="W4">
        <v>10252</v>
      </c>
      <c r="X4">
        <v>921</v>
      </c>
      <c r="Y4">
        <v>879</v>
      </c>
      <c r="Z4">
        <v>271</v>
      </c>
      <c r="AA4">
        <v>712</v>
      </c>
      <c r="AB4">
        <v>11388</v>
      </c>
      <c r="AC4">
        <v>233862</v>
      </c>
      <c r="AD4">
        <v>550</v>
      </c>
      <c r="AE4">
        <v>23060</v>
      </c>
      <c r="AF4">
        <v>73</v>
      </c>
      <c r="AG4">
        <v>1236</v>
      </c>
      <c r="AH4">
        <v>302</v>
      </c>
      <c r="AI4">
        <v>12178</v>
      </c>
      <c r="AJ4">
        <v>565</v>
      </c>
    </row>
    <row r="5" spans="1:36" x14ac:dyDescent="0.3">
      <c r="A5" t="s">
        <v>39</v>
      </c>
      <c r="B5">
        <v>83132</v>
      </c>
      <c r="C5">
        <v>7244</v>
      </c>
      <c r="D5">
        <v>7931</v>
      </c>
      <c r="E5">
        <v>14172</v>
      </c>
      <c r="F5">
        <v>2432</v>
      </c>
      <c r="G5">
        <v>478</v>
      </c>
      <c r="H5">
        <v>68637</v>
      </c>
      <c r="I5">
        <v>1207</v>
      </c>
      <c r="J5">
        <v>185233</v>
      </c>
      <c r="K5">
        <v>5469</v>
      </c>
      <c r="L5">
        <v>2347</v>
      </c>
      <c r="M5">
        <v>5314</v>
      </c>
      <c r="N5">
        <v>13130</v>
      </c>
      <c r="O5">
        <v>198363</v>
      </c>
      <c r="P5">
        <v>6774</v>
      </c>
      <c r="Q5">
        <v>674</v>
      </c>
      <c r="R5">
        <v>7593</v>
      </c>
      <c r="S5">
        <v>170</v>
      </c>
      <c r="T5">
        <v>793</v>
      </c>
      <c r="U5">
        <v>24354</v>
      </c>
      <c r="V5">
        <v>16429</v>
      </c>
      <c r="W5">
        <v>9399</v>
      </c>
      <c r="X5">
        <v>873</v>
      </c>
      <c r="Y5">
        <v>907</v>
      </c>
      <c r="Z5">
        <v>276</v>
      </c>
      <c r="AA5">
        <v>750</v>
      </c>
      <c r="AB5">
        <v>11710</v>
      </c>
      <c r="AC5">
        <v>237088</v>
      </c>
      <c r="AD5">
        <v>549</v>
      </c>
      <c r="AE5">
        <v>23631</v>
      </c>
      <c r="AF5">
        <v>73</v>
      </c>
      <c r="AG5">
        <v>1186</v>
      </c>
      <c r="AH5">
        <v>359</v>
      </c>
      <c r="AI5">
        <v>12833</v>
      </c>
      <c r="AJ5">
        <v>718</v>
      </c>
    </row>
    <row r="6" spans="1:36" x14ac:dyDescent="0.3">
      <c r="A6" t="s">
        <v>40</v>
      </c>
      <c r="B6">
        <v>91793</v>
      </c>
      <c r="C6">
        <v>7630</v>
      </c>
      <c r="D6">
        <v>7684</v>
      </c>
      <c r="E6">
        <v>14710</v>
      </c>
      <c r="F6">
        <v>2354</v>
      </c>
      <c r="G6">
        <v>472</v>
      </c>
      <c r="H6">
        <v>69355</v>
      </c>
      <c r="I6">
        <v>1221</v>
      </c>
      <c r="J6">
        <v>195217</v>
      </c>
      <c r="K6">
        <v>5600</v>
      </c>
      <c r="L6">
        <v>2738</v>
      </c>
      <c r="M6">
        <v>5046</v>
      </c>
      <c r="N6">
        <v>13384</v>
      </c>
      <c r="O6">
        <v>208602</v>
      </c>
      <c r="P6">
        <v>7993</v>
      </c>
      <c r="Q6">
        <v>641</v>
      </c>
      <c r="R6">
        <v>8131</v>
      </c>
      <c r="S6">
        <v>173</v>
      </c>
      <c r="T6">
        <v>991</v>
      </c>
      <c r="U6">
        <v>27978</v>
      </c>
      <c r="V6">
        <v>18499</v>
      </c>
      <c r="W6">
        <v>9970</v>
      </c>
      <c r="X6">
        <v>870</v>
      </c>
      <c r="Y6">
        <v>949</v>
      </c>
      <c r="Z6">
        <v>274</v>
      </c>
      <c r="AA6">
        <v>803</v>
      </c>
      <c r="AB6">
        <v>12105</v>
      </c>
      <c r="AC6">
        <v>281172</v>
      </c>
      <c r="AD6">
        <v>552</v>
      </c>
      <c r="AE6">
        <v>23905</v>
      </c>
      <c r="AF6">
        <v>93</v>
      </c>
      <c r="AG6">
        <v>1015</v>
      </c>
      <c r="AH6">
        <v>391</v>
      </c>
      <c r="AI6">
        <v>14811</v>
      </c>
      <c r="AJ6">
        <v>852</v>
      </c>
    </row>
    <row r="7" spans="1:36" x14ac:dyDescent="0.3">
      <c r="A7" t="s">
        <v>41</v>
      </c>
      <c r="B7">
        <v>93355</v>
      </c>
      <c r="C7">
        <v>7151</v>
      </c>
      <c r="D7">
        <v>8424</v>
      </c>
      <c r="E7">
        <v>15097</v>
      </c>
      <c r="F7">
        <v>1444</v>
      </c>
      <c r="G7">
        <v>480</v>
      </c>
      <c r="H7">
        <v>75807</v>
      </c>
      <c r="I7">
        <v>1328</v>
      </c>
      <c r="J7">
        <v>203085</v>
      </c>
      <c r="K7">
        <v>6334</v>
      </c>
      <c r="L7">
        <v>2314</v>
      </c>
      <c r="M7">
        <v>5550</v>
      </c>
      <c r="N7">
        <v>14198</v>
      </c>
      <c r="O7">
        <v>217282</v>
      </c>
      <c r="P7">
        <v>4864</v>
      </c>
      <c r="Q7">
        <v>618</v>
      </c>
      <c r="R7">
        <v>7438</v>
      </c>
      <c r="S7">
        <v>168</v>
      </c>
      <c r="T7">
        <v>762</v>
      </c>
      <c r="U7">
        <v>24289</v>
      </c>
      <c r="V7">
        <v>22632</v>
      </c>
      <c r="W7">
        <v>10317</v>
      </c>
      <c r="X7">
        <v>956</v>
      </c>
      <c r="Y7">
        <v>973</v>
      </c>
      <c r="Z7">
        <v>288</v>
      </c>
      <c r="AA7">
        <v>853</v>
      </c>
      <c r="AB7">
        <v>16609</v>
      </c>
      <c r="AC7">
        <v>355520</v>
      </c>
      <c r="AD7">
        <v>469</v>
      </c>
      <c r="AE7">
        <v>22181</v>
      </c>
      <c r="AF7">
        <v>69</v>
      </c>
      <c r="AG7">
        <v>1242</v>
      </c>
      <c r="AH7">
        <v>393</v>
      </c>
      <c r="AI7">
        <v>15840</v>
      </c>
      <c r="AJ7">
        <v>787</v>
      </c>
    </row>
    <row r="8" spans="1:36" x14ac:dyDescent="0.3">
      <c r="A8" t="s">
        <v>42</v>
      </c>
      <c r="B8">
        <v>96693</v>
      </c>
      <c r="C8">
        <v>7926</v>
      </c>
      <c r="D8">
        <v>9970</v>
      </c>
      <c r="E8">
        <v>18955</v>
      </c>
      <c r="F8">
        <v>2152</v>
      </c>
      <c r="G8">
        <v>551</v>
      </c>
      <c r="H8">
        <v>78570</v>
      </c>
      <c r="I8">
        <v>1196</v>
      </c>
      <c r="J8">
        <v>216014</v>
      </c>
      <c r="K8">
        <v>5749</v>
      </c>
      <c r="L8">
        <v>3076</v>
      </c>
      <c r="M8">
        <v>5937</v>
      </c>
      <c r="N8">
        <v>14762</v>
      </c>
      <c r="O8">
        <v>230775</v>
      </c>
      <c r="P8">
        <v>9183</v>
      </c>
      <c r="Q8">
        <v>757</v>
      </c>
      <c r="R8">
        <v>5834</v>
      </c>
      <c r="S8">
        <v>163</v>
      </c>
      <c r="T8">
        <v>1054</v>
      </c>
      <c r="U8">
        <v>29755</v>
      </c>
      <c r="V8">
        <v>25884</v>
      </c>
      <c r="W8">
        <v>10220</v>
      </c>
      <c r="X8">
        <v>990</v>
      </c>
      <c r="Y8">
        <v>987</v>
      </c>
      <c r="Z8">
        <v>262</v>
      </c>
      <c r="AA8">
        <v>825</v>
      </c>
      <c r="AB8">
        <v>23823</v>
      </c>
      <c r="AC8">
        <v>348188</v>
      </c>
      <c r="AD8">
        <v>437</v>
      </c>
      <c r="AE8">
        <v>34658</v>
      </c>
      <c r="AF8">
        <v>50</v>
      </c>
      <c r="AG8">
        <v>1371</v>
      </c>
      <c r="AH8">
        <v>775</v>
      </c>
      <c r="AI8">
        <v>10148</v>
      </c>
      <c r="AJ8">
        <v>884</v>
      </c>
    </row>
    <row r="9" spans="1:36" x14ac:dyDescent="0.3">
      <c r="A9" t="s">
        <v>43</v>
      </c>
      <c r="B9">
        <v>99172</v>
      </c>
      <c r="C9">
        <v>7246</v>
      </c>
      <c r="D9">
        <v>8887</v>
      </c>
      <c r="E9">
        <v>19731</v>
      </c>
      <c r="F9">
        <v>2040</v>
      </c>
      <c r="G9">
        <v>445</v>
      </c>
      <c r="H9">
        <v>80679</v>
      </c>
      <c r="I9">
        <v>1689</v>
      </c>
      <c r="J9">
        <v>219889</v>
      </c>
      <c r="K9">
        <v>7060</v>
      </c>
      <c r="L9">
        <v>2266</v>
      </c>
      <c r="M9">
        <v>5240</v>
      </c>
      <c r="N9">
        <v>14566</v>
      </c>
      <c r="O9">
        <v>234456</v>
      </c>
      <c r="P9">
        <v>7168</v>
      </c>
      <c r="Q9">
        <v>640</v>
      </c>
      <c r="R9">
        <v>7201</v>
      </c>
      <c r="S9">
        <v>169</v>
      </c>
      <c r="T9">
        <v>1171</v>
      </c>
      <c r="U9">
        <v>27719</v>
      </c>
      <c r="V9">
        <v>22276</v>
      </c>
      <c r="W9">
        <v>9634</v>
      </c>
      <c r="X9">
        <v>731</v>
      </c>
      <c r="Y9">
        <v>973</v>
      </c>
      <c r="Z9">
        <v>262</v>
      </c>
      <c r="AA9">
        <v>865</v>
      </c>
      <c r="AB9">
        <v>26217</v>
      </c>
      <c r="AC9">
        <v>285029</v>
      </c>
      <c r="AD9">
        <v>569</v>
      </c>
      <c r="AE9">
        <v>34391</v>
      </c>
      <c r="AF9">
        <v>50</v>
      </c>
      <c r="AG9">
        <v>1382</v>
      </c>
      <c r="AH9">
        <v>832</v>
      </c>
      <c r="AI9">
        <v>10148</v>
      </c>
      <c r="AJ9">
        <v>895</v>
      </c>
    </row>
    <row r="10" spans="1:36" x14ac:dyDescent="0.3">
      <c r="A10" t="s">
        <v>44</v>
      </c>
      <c r="B10">
        <v>89083</v>
      </c>
      <c r="C10">
        <v>6698</v>
      </c>
      <c r="D10">
        <v>6506</v>
      </c>
      <c r="E10">
        <v>16720</v>
      </c>
      <c r="F10">
        <v>1889</v>
      </c>
      <c r="G10">
        <v>382</v>
      </c>
      <c r="H10">
        <v>80804</v>
      </c>
      <c r="I10">
        <v>1355</v>
      </c>
      <c r="J10">
        <v>203435</v>
      </c>
      <c r="K10">
        <v>7476</v>
      </c>
      <c r="L10">
        <v>2465</v>
      </c>
      <c r="M10">
        <v>4720</v>
      </c>
      <c r="N10">
        <v>14662</v>
      </c>
      <c r="O10">
        <v>218098</v>
      </c>
      <c r="P10">
        <v>5428</v>
      </c>
      <c r="Q10">
        <v>588</v>
      </c>
      <c r="R10">
        <v>6608</v>
      </c>
      <c r="S10">
        <v>154</v>
      </c>
      <c r="T10">
        <v>1009</v>
      </c>
      <c r="U10">
        <v>24882</v>
      </c>
      <c r="V10">
        <v>24022</v>
      </c>
      <c r="W10">
        <v>11230</v>
      </c>
      <c r="X10">
        <v>587</v>
      </c>
      <c r="Y10">
        <v>991</v>
      </c>
      <c r="Z10">
        <v>290</v>
      </c>
      <c r="AA10">
        <v>831</v>
      </c>
      <c r="AB10">
        <v>26470</v>
      </c>
      <c r="AC10">
        <v>292302</v>
      </c>
      <c r="AD10">
        <v>665</v>
      </c>
      <c r="AE10">
        <v>36577</v>
      </c>
      <c r="AF10">
        <v>50</v>
      </c>
      <c r="AG10">
        <v>1470</v>
      </c>
      <c r="AH10">
        <v>708</v>
      </c>
      <c r="AI10">
        <v>10824</v>
      </c>
      <c r="AJ10">
        <v>928</v>
      </c>
    </row>
    <row r="11" spans="1:36" x14ac:dyDescent="0.3">
      <c r="A11" t="s">
        <v>45</v>
      </c>
      <c r="B11">
        <v>95970</v>
      </c>
      <c r="C11">
        <v>7003</v>
      </c>
      <c r="D11">
        <v>10370</v>
      </c>
      <c r="E11">
        <v>21726</v>
      </c>
      <c r="F11">
        <v>2194</v>
      </c>
      <c r="G11">
        <v>442</v>
      </c>
      <c r="H11">
        <v>86874</v>
      </c>
      <c r="I11">
        <v>1663</v>
      </c>
      <c r="J11">
        <v>226241</v>
      </c>
      <c r="K11">
        <v>8221</v>
      </c>
      <c r="L11">
        <v>2861</v>
      </c>
      <c r="M11">
        <v>7159</v>
      </c>
      <c r="N11">
        <v>18241</v>
      </c>
      <c r="O11">
        <v>244482</v>
      </c>
      <c r="P11">
        <v>8266</v>
      </c>
      <c r="Q11">
        <v>893</v>
      </c>
      <c r="R11">
        <v>8179</v>
      </c>
      <c r="S11">
        <v>147</v>
      </c>
      <c r="T11">
        <v>1350</v>
      </c>
      <c r="U11">
        <v>32477</v>
      </c>
      <c r="V11">
        <v>33000</v>
      </c>
      <c r="W11">
        <v>10009</v>
      </c>
      <c r="X11">
        <v>611</v>
      </c>
      <c r="Y11">
        <v>967</v>
      </c>
      <c r="Z11">
        <v>302</v>
      </c>
      <c r="AA11">
        <v>862</v>
      </c>
      <c r="AB11">
        <v>29780</v>
      </c>
      <c r="AC11">
        <v>342382</v>
      </c>
      <c r="AD11">
        <v>802</v>
      </c>
      <c r="AE11">
        <v>42339</v>
      </c>
      <c r="AF11">
        <v>52</v>
      </c>
      <c r="AG11">
        <v>1223</v>
      </c>
      <c r="AH11">
        <v>702</v>
      </c>
      <c r="AI11">
        <v>10840</v>
      </c>
      <c r="AJ11">
        <v>993</v>
      </c>
    </row>
    <row r="12" spans="1:36" x14ac:dyDescent="0.3">
      <c r="A12" t="s">
        <v>46</v>
      </c>
      <c r="B12">
        <v>105301</v>
      </c>
      <c r="C12">
        <v>5979</v>
      </c>
      <c r="D12">
        <v>10276</v>
      </c>
      <c r="E12">
        <v>21759</v>
      </c>
      <c r="F12">
        <v>1929</v>
      </c>
      <c r="G12">
        <v>452</v>
      </c>
      <c r="H12">
        <v>94882</v>
      </c>
      <c r="I12">
        <v>1619</v>
      </c>
      <c r="J12">
        <v>242197</v>
      </c>
      <c r="K12">
        <v>7702</v>
      </c>
      <c r="L12">
        <v>2654</v>
      </c>
      <c r="M12">
        <v>6733</v>
      </c>
      <c r="N12">
        <v>17089</v>
      </c>
      <c r="O12">
        <v>259286</v>
      </c>
      <c r="P12">
        <v>6964</v>
      </c>
      <c r="Q12">
        <v>810</v>
      </c>
      <c r="R12">
        <v>6604</v>
      </c>
      <c r="S12">
        <v>153</v>
      </c>
      <c r="T12">
        <v>2295</v>
      </c>
      <c r="U12">
        <v>29799</v>
      </c>
      <c r="V12">
        <v>35200</v>
      </c>
      <c r="W12">
        <v>10736</v>
      </c>
      <c r="X12">
        <v>663</v>
      </c>
      <c r="Y12">
        <v>1095</v>
      </c>
      <c r="Z12">
        <v>314</v>
      </c>
      <c r="AA12">
        <v>904</v>
      </c>
      <c r="AB12">
        <v>28455</v>
      </c>
      <c r="AC12">
        <v>361037</v>
      </c>
      <c r="AD12">
        <v>752</v>
      </c>
      <c r="AE12">
        <v>41483</v>
      </c>
      <c r="AF12">
        <v>41</v>
      </c>
      <c r="AG12">
        <v>1276</v>
      </c>
      <c r="AH12">
        <v>756</v>
      </c>
      <c r="AI12">
        <v>14940</v>
      </c>
      <c r="AJ12">
        <v>1167</v>
      </c>
    </row>
    <row r="13" spans="1:36" x14ac:dyDescent="0.3">
      <c r="A13" t="s">
        <v>47</v>
      </c>
      <c r="B13">
        <v>105241</v>
      </c>
      <c r="C13">
        <v>5282</v>
      </c>
      <c r="D13">
        <v>8742</v>
      </c>
      <c r="E13">
        <v>22258</v>
      </c>
      <c r="F13">
        <v>1574</v>
      </c>
      <c r="G13">
        <v>436</v>
      </c>
      <c r="H13">
        <v>93506</v>
      </c>
      <c r="I13">
        <v>1752</v>
      </c>
      <c r="J13">
        <v>238792</v>
      </c>
      <c r="K13">
        <v>8833</v>
      </c>
      <c r="L13">
        <v>3023</v>
      </c>
      <c r="M13">
        <v>6486</v>
      </c>
      <c r="N13">
        <v>18342</v>
      </c>
      <c r="O13">
        <v>257135</v>
      </c>
      <c r="P13">
        <v>4694</v>
      </c>
      <c r="Q13">
        <v>685</v>
      </c>
      <c r="R13">
        <v>8029</v>
      </c>
      <c r="S13">
        <v>149</v>
      </c>
      <c r="T13">
        <v>1964</v>
      </c>
      <c r="U13">
        <v>30940</v>
      </c>
      <c r="V13">
        <v>34220</v>
      </c>
      <c r="W13">
        <v>10340</v>
      </c>
      <c r="X13">
        <v>590</v>
      </c>
      <c r="Y13">
        <v>1135</v>
      </c>
      <c r="Z13">
        <v>318</v>
      </c>
      <c r="AA13">
        <v>914</v>
      </c>
      <c r="AB13">
        <v>26509</v>
      </c>
      <c r="AC13">
        <v>341200</v>
      </c>
      <c r="AD13">
        <v>657</v>
      </c>
      <c r="AE13">
        <v>45344</v>
      </c>
      <c r="AF13">
        <v>53</v>
      </c>
      <c r="AG13">
        <v>1304</v>
      </c>
      <c r="AH13">
        <v>683</v>
      </c>
      <c r="AI13">
        <v>15609</v>
      </c>
      <c r="AJ13">
        <v>971</v>
      </c>
    </row>
    <row r="14" spans="1:36" x14ac:dyDescent="0.3">
      <c r="A14" t="s">
        <v>48</v>
      </c>
      <c r="B14">
        <v>106646</v>
      </c>
      <c r="C14">
        <v>5542</v>
      </c>
      <c r="D14">
        <v>9250</v>
      </c>
      <c r="E14">
        <v>24259</v>
      </c>
      <c r="F14">
        <v>1983</v>
      </c>
      <c r="G14">
        <v>430</v>
      </c>
      <c r="H14">
        <v>95850</v>
      </c>
      <c r="I14">
        <v>1831</v>
      </c>
      <c r="J14">
        <v>245790</v>
      </c>
      <c r="K14">
        <v>9526</v>
      </c>
      <c r="L14">
        <v>3174</v>
      </c>
      <c r="M14">
        <v>6555</v>
      </c>
      <c r="N14">
        <v>19255</v>
      </c>
      <c r="O14">
        <v>265045</v>
      </c>
      <c r="P14">
        <v>9714</v>
      </c>
      <c r="Q14">
        <v>715</v>
      </c>
      <c r="R14">
        <v>7877</v>
      </c>
      <c r="S14">
        <v>142</v>
      </c>
      <c r="T14">
        <v>1727</v>
      </c>
      <c r="U14">
        <v>32749</v>
      </c>
      <c r="V14">
        <v>35902</v>
      </c>
      <c r="W14">
        <v>11083</v>
      </c>
      <c r="X14">
        <v>607</v>
      </c>
      <c r="Y14">
        <v>1209</v>
      </c>
      <c r="Z14">
        <v>305</v>
      </c>
      <c r="AA14">
        <v>774.03</v>
      </c>
      <c r="AB14">
        <v>29725</v>
      </c>
      <c r="AC14">
        <v>352142</v>
      </c>
      <c r="AD14">
        <v>778</v>
      </c>
      <c r="AE14">
        <v>41555</v>
      </c>
      <c r="AF14">
        <v>51</v>
      </c>
      <c r="AG14">
        <v>1492</v>
      </c>
      <c r="AH14">
        <v>655</v>
      </c>
      <c r="AI14">
        <v>14911</v>
      </c>
      <c r="AJ14">
        <v>1190</v>
      </c>
    </row>
    <row r="15" spans="1:36" x14ac:dyDescent="0.3">
      <c r="A15" t="s">
        <v>49</v>
      </c>
      <c r="B15">
        <v>105482</v>
      </c>
      <c r="C15">
        <v>5445</v>
      </c>
      <c r="D15">
        <v>9184</v>
      </c>
      <c r="E15">
        <v>24173</v>
      </c>
      <c r="F15">
        <v>2061</v>
      </c>
      <c r="G15">
        <v>386</v>
      </c>
      <c r="H15">
        <v>86527</v>
      </c>
      <c r="I15">
        <v>1613</v>
      </c>
      <c r="J15">
        <v>234871</v>
      </c>
      <c r="K15">
        <v>7332</v>
      </c>
      <c r="L15">
        <v>2807</v>
      </c>
      <c r="M15">
        <v>7013</v>
      </c>
      <c r="N15">
        <v>17152</v>
      </c>
      <c r="O15">
        <v>252023</v>
      </c>
      <c r="P15">
        <v>7402</v>
      </c>
      <c r="Q15">
        <v>828</v>
      </c>
      <c r="R15">
        <v>6282</v>
      </c>
      <c r="S15">
        <v>155</v>
      </c>
      <c r="T15">
        <v>1870</v>
      </c>
      <c r="U15">
        <v>27511</v>
      </c>
      <c r="V15">
        <v>34805</v>
      </c>
      <c r="W15">
        <v>10618</v>
      </c>
      <c r="X15">
        <v>508</v>
      </c>
      <c r="Y15">
        <v>1197</v>
      </c>
      <c r="Z15">
        <v>327</v>
      </c>
      <c r="AB15">
        <v>28137</v>
      </c>
      <c r="AC15">
        <v>362333</v>
      </c>
      <c r="AE15">
        <v>45951</v>
      </c>
      <c r="AF15">
        <v>55</v>
      </c>
      <c r="AG15">
        <v>1453</v>
      </c>
      <c r="AH15">
        <v>704</v>
      </c>
      <c r="AI15">
        <v>14154</v>
      </c>
      <c r="AJ15">
        <v>852</v>
      </c>
    </row>
    <row r="16" spans="1:36" x14ac:dyDescent="0.3">
      <c r="A16" t="s">
        <v>51</v>
      </c>
      <c r="B16">
        <v>104320</v>
      </c>
      <c r="C16">
        <v>4410</v>
      </c>
      <c r="D16">
        <v>8060</v>
      </c>
      <c r="E16">
        <v>21810</v>
      </c>
      <c r="F16">
        <v>1790</v>
      </c>
      <c r="G16">
        <v>370</v>
      </c>
      <c r="H16">
        <v>93500</v>
      </c>
      <c r="I16">
        <v>1510</v>
      </c>
      <c r="J16">
        <v>235760</v>
      </c>
      <c r="K16">
        <v>7170</v>
      </c>
      <c r="L16">
        <v>2460</v>
      </c>
      <c r="M16">
        <v>6840</v>
      </c>
      <c r="N16">
        <v>16470</v>
      </c>
      <c r="O16">
        <v>252220</v>
      </c>
      <c r="P16">
        <v>6771</v>
      </c>
      <c r="Q16">
        <v>866</v>
      </c>
      <c r="R16">
        <v>6821</v>
      </c>
      <c r="S16">
        <v>132</v>
      </c>
      <c r="T16">
        <v>1650</v>
      </c>
      <c r="U16">
        <v>25304</v>
      </c>
      <c r="V16">
        <v>30147</v>
      </c>
      <c r="W16">
        <v>9938</v>
      </c>
      <c r="X16">
        <v>528</v>
      </c>
      <c r="Y16">
        <v>1233.1400000000001</v>
      </c>
      <c r="Z16">
        <v>348</v>
      </c>
    </row>
    <row r="17" spans="1:26" x14ac:dyDescent="0.3">
      <c r="A17" t="s">
        <v>52</v>
      </c>
      <c r="B17">
        <v>93880</v>
      </c>
      <c r="C17">
        <v>2420</v>
      </c>
      <c r="D17">
        <v>8550</v>
      </c>
      <c r="E17">
        <v>19300</v>
      </c>
      <c r="F17">
        <v>1850</v>
      </c>
      <c r="G17">
        <v>340</v>
      </c>
      <c r="J17">
        <v>126330</v>
      </c>
      <c r="L17">
        <v>4290</v>
      </c>
      <c r="M17">
        <v>4410</v>
      </c>
      <c r="N17">
        <v>8700</v>
      </c>
      <c r="O17">
        <v>135030</v>
      </c>
      <c r="P17">
        <v>6498</v>
      </c>
      <c r="Q17">
        <v>675</v>
      </c>
      <c r="T17">
        <v>1731</v>
      </c>
      <c r="U17">
        <v>23363</v>
      </c>
      <c r="V17">
        <v>32123</v>
      </c>
      <c r="W17">
        <v>9905</v>
      </c>
      <c r="X17">
        <v>501</v>
      </c>
      <c r="Z17">
        <v>320</v>
      </c>
    </row>
    <row r="23" spans="1:26" x14ac:dyDescent="0.3">
      <c r="C23">
        <f>MIN(B2,B17)</f>
        <v>93340</v>
      </c>
      <c r="D23">
        <f>MAX(B2,B17)</f>
        <v>93880</v>
      </c>
    </row>
    <row r="27" spans="1:26" x14ac:dyDescent="0.3">
      <c r="D27" t="s">
        <v>53</v>
      </c>
      <c r="E27" t="s">
        <v>54</v>
      </c>
    </row>
    <row r="28" spans="1:26" x14ac:dyDescent="0.3">
      <c r="D28" t="s">
        <v>55</v>
      </c>
      <c r="E28">
        <v>93880</v>
      </c>
    </row>
    <row r="29" spans="1:26" x14ac:dyDescent="0.3">
      <c r="D29" t="s">
        <v>56</v>
      </c>
      <c r="E29">
        <v>8550</v>
      </c>
    </row>
    <row r="30" spans="1:26" x14ac:dyDescent="0.3">
      <c r="D30" t="s">
        <v>57</v>
      </c>
      <c r="E30">
        <v>19300</v>
      </c>
    </row>
    <row r="31" spans="1:26" x14ac:dyDescent="0.3">
      <c r="D31" t="s">
        <v>58</v>
      </c>
      <c r="E31">
        <v>1850</v>
      </c>
    </row>
  </sheetData>
  <autoFilter ref="A1:AJ17" xr:uid="{2B3FFD2E-36C8-4B9B-B0E9-2B33DCDA46F7}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Table_8.3-All_India_1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jangam</dc:creator>
  <cp:lastModifiedBy>vivek jangam</cp:lastModifiedBy>
  <dcterms:created xsi:type="dcterms:W3CDTF">2026-08-19T08:25:47Z</dcterms:created>
  <dcterms:modified xsi:type="dcterms:W3CDTF">2026-08-19T10:18:32Z</dcterms:modified>
</cp:coreProperties>
</file>